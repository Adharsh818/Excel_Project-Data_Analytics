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A:\Excel_Data_Analytics_Course-main\6_Advanced_Data_Analysis\"/>
    </mc:Choice>
  </mc:AlternateContent>
  <xr:revisionPtr revIDLastSave="0" documentId="13_ncr:1_{366FCEBA-24F1-4B6E-A8AB-0BC66AEBBCD5}" xr6:coauthVersionLast="47" xr6:coauthVersionMax="47" xr10:uidLastSave="{00000000-0000-0000-0000-000000000000}"/>
  <bookViews>
    <workbookView xWindow="-108" yWindow="-108" windowWidth="23256" windowHeight="12456" firstSheet="4" activeTab="8" xr2:uid="{6C37AC85-509F-4D10-9DB1-F70D16D6FBAB}"/>
  </bookViews>
  <sheets>
    <sheet name="FORECAST_RESULTS" sheetId="16" r:id="rId1"/>
    <sheet name="Forecast_Original" sheetId="7" r:id="rId2"/>
    <sheet name="Forecast_Final" sheetId="8" state="hidden" r:id="rId3"/>
    <sheet name="Scenario Summary" sheetId="18" r:id="rId4"/>
    <sheet name="Answer Report 1" sheetId="19" r:id="rId5"/>
    <sheet name="Sensitivity Report 1" sheetId="20" r:id="rId6"/>
    <sheet name="Limits Report 1" sheetId="21" r:id="rId7"/>
    <sheet name="Answer Report 2" sheetId="22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lhs3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el3" localSheetId="8" hidden="1">1</definedName>
    <definedName name="solver_rhs1" localSheetId="8" hidden="1">0.2</definedName>
    <definedName name="solver_rhs2" localSheetId="8" hidden="1">0.05</definedName>
    <definedName name="solver_rhs3" localSheetId="8" hidden="1">4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11" i="3"/>
  <c r="C12" i="3"/>
  <c r="C13" i="3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4" i="3" l="1"/>
  <c r="E367" i="16"/>
  <c r="D367" i="16"/>
  <c r="E368" i="16"/>
  <c r="D368" i="16"/>
  <c r="E369" i="16"/>
  <c r="D369" i="16"/>
  <c r="D370" i="16"/>
  <c r="E370" i="16"/>
  <c r="E371" i="16"/>
  <c r="D371" i="16"/>
  <c r="D372" i="16"/>
  <c r="E372" i="16"/>
  <c r="D373" i="16"/>
  <c r="E373" i="16"/>
  <c r="E374" i="16"/>
  <c r="D374" i="16"/>
  <c r="D375" i="16"/>
  <c r="E375" i="16"/>
  <c r="D376" i="16"/>
  <c r="E376" i="16"/>
  <c r="D377" i="16"/>
  <c r="E377" i="16"/>
  <c r="E378" i="16"/>
  <c r="D378" i="16"/>
  <c r="E379" i="16"/>
  <c r="D379" i="16"/>
  <c r="E380" i="16"/>
  <c r="D380" i="16"/>
  <c r="E381" i="16"/>
  <c r="D381" i="16"/>
  <c r="D382" i="16"/>
  <c r="E382" i="16"/>
  <c r="D383" i="16"/>
  <c r="E383" i="16"/>
  <c r="E384" i="16"/>
  <c r="D384" i="16"/>
  <c r="D385" i="16"/>
  <c r="E385" i="16"/>
  <c r="D386" i="16"/>
  <c r="E386" i="16"/>
  <c r="D387" i="16"/>
  <c r="E387" i="16"/>
  <c r="E388" i="16"/>
  <c r="D388" i="16"/>
  <c r="D389" i="16"/>
  <c r="E389" i="16"/>
  <c r="E390" i="16"/>
  <c r="D390" i="16"/>
  <c r="D391" i="16"/>
  <c r="E391" i="16"/>
  <c r="D392" i="16"/>
  <c r="E392" i="16"/>
  <c r="E393" i="16"/>
  <c r="D393" i="16"/>
  <c r="E394" i="16"/>
  <c r="D394" i="16"/>
  <c r="E395" i="16"/>
  <c r="D395" i="16"/>
  <c r="E396" i="16"/>
  <c r="D396" i="16"/>
  <c r="E397" i="16"/>
  <c r="D397" i="16"/>
  <c r="D398" i="16"/>
  <c r="E398" i="16"/>
  <c r="D399" i="16"/>
  <c r="E399" i="16"/>
  <c r="D400" i="16"/>
  <c r="E400" i="16"/>
  <c r="D401" i="16"/>
  <c r="E401" i="16"/>
  <c r="D402" i="16"/>
  <c r="E402" i="16"/>
  <c r="D403" i="16"/>
  <c r="E403" i="16"/>
  <c r="D404" i="16"/>
  <c r="E404" i="16"/>
  <c r="D405" i="16"/>
  <c r="E405" i="16"/>
  <c r="E406" i="16"/>
  <c r="D406" i="16"/>
  <c r="D407" i="16"/>
  <c r="E407" i="16"/>
  <c r="E408" i="16"/>
  <c r="D408" i="16"/>
  <c r="E409" i="16"/>
  <c r="D409" i="16"/>
  <c r="E410" i="16"/>
  <c r="D410" i="16"/>
  <c r="E411" i="16"/>
  <c r="D411" i="16"/>
  <c r="E412" i="16"/>
  <c r="D412" i="16"/>
  <c r="D413" i="16"/>
  <c r="E413" i="16"/>
  <c r="E414" i="16"/>
  <c r="D414" i="16"/>
  <c r="E415" i="16"/>
  <c r="D415" i="16"/>
  <c r="E416" i="16"/>
  <c r="D416" i="16"/>
  <c r="D417" i="16"/>
  <c r="E417" i="16"/>
  <c r="E418" i="16"/>
  <c r="D418" i="16"/>
  <c r="D419" i="16"/>
  <c r="E419" i="16"/>
  <c r="D420" i="16"/>
  <c r="E420" i="16"/>
  <c r="D421" i="16"/>
  <c r="E421" i="16"/>
  <c r="E422" i="16"/>
  <c r="D422" i="16"/>
  <c r="D423" i="16"/>
  <c r="E423" i="16"/>
  <c r="D424" i="16"/>
  <c r="E424" i="16"/>
  <c r="D425" i="16"/>
  <c r="E425" i="16"/>
  <c r="E426" i="16"/>
  <c r="D426" i="16"/>
  <c r="E427" i="16"/>
  <c r="D427" i="16"/>
  <c r="D428" i="16"/>
  <c r="E428" i="16"/>
  <c r="E429" i="16"/>
  <c r="D429" i="16"/>
  <c r="D430" i="16"/>
  <c r="E430" i="16"/>
  <c r="D431" i="16"/>
  <c r="E431" i="16"/>
  <c r="E432" i="16"/>
  <c r="D432" i="16"/>
  <c r="E433" i="16"/>
  <c r="D433" i="16"/>
  <c r="E434" i="16"/>
  <c r="D434" i="16"/>
  <c r="E435" i="16"/>
  <c r="D435" i="16"/>
  <c r="D436" i="16"/>
  <c r="E436" i="16"/>
  <c r="E437" i="16"/>
  <c r="D437" i="16"/>
  <c r="D438" i="16"/>
  <c r="E438" i="16"/>
  <c r="D439" i="16"/>
  <c r="E439" i="16"/>
  <c r="D440" i="16"/>
  <c r="E440" i="16"/>
  <c r="D441" i="16"/>
  <c r="E441" i="16"/>
  <c r="E442" i="16"/>
  <c r="D442" i="16"/>
  <c r="E443" i="16"/>
  <c r="D443" i="16"/>
  <c r="D444" i="16"/>
  <c r="E444" i="16"/>
  <c r="E445" i="16"/>
  <c r="D445" i="16"/>
  <c r="D446" i="16"/>
  <c r="E446" i="16"/>
  <c r="E447" i="16"/>
  <c r="D447" i="16"/>
  <c r="D448" i="16"/>
  <c r="E448" i="16"/>
  <c r="E449" i="16"/>
  <c r="D449" i="16"/>
  <c r="E450" i="16"/>
  <c r="D450" i="16"/>
  <c r="D451" i="16"/>
  <c r="E451" i="16"/>
  <c r="E452" i="16"/>
  <c r="D452" i="16"/>
  <c r="E453" i="16"/>
  <c r="D453" i="16"/>
  <c r="E454" i="16"/>
  <c r="D454" i="16"/>
  <c r="E455" i="16"/>
  <c r="D455" i="16"/>
  <c r="E456" i="16"/>
  <c r="D456" i="16"/>
  <c r="D457" i="16"/>
  <c r="E457" i="16"/>
  <c r="E458" i="16"/>
  <c r="D458" i="16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<sst xmlns="http://schemas.openxmlformats.org/spreadsheetml/2006/main" count="287" uniqueCount="95">
  <si>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</si>
  <si>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</si>
  <si>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</si>
  <si>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</si>
  <si>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</si>
  <si>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</si>
  <si>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</si>
  <si>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</si>
  <si>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</si>
  <si>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</si>
  <si>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</si>
  <si>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</si>
  <si>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</si>
  <si>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</si>
  <si>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</si>
  <si>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</si>
  <si>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</si>
  <si>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</si>
  <si>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</si>
  <si>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</si>
  <si>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</si>
  <si>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</si>
  <si>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</si>
  <si>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</si>
  <si>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</si>
  <si>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</si>
  <si>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</si>
  <si>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</si>
  <si>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</si>
  <si>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</si>
  <si>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</si>
  <si>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</si>
  <si>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</si>
  <si>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</si>
  <si>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</si>
  <si>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</si>
  <si>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</si>
  <si>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</si>
  <si>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</si>
  <si>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</si>
  <si>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</si>
  <si>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</si>
  <si>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</si>
  <si>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</si>
  <si>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</si>
  <si>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</si>
  <si>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</si>
  <si>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</si>
  <si>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</si>
  <si>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</si>
  <si>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</si>
  <si>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</si>
  <si>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</si>
  <si>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</si>
  <si>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</si>
  <si>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</si>
  <si>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</si>
  <si>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</si>
  <si>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</si>
  <si>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</si>
  <si>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</si>
  <si>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</si>
  <si>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</si>
  <si>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</si>
  <si>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</si>
  <si>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</si>
  <si>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</si>
  <si>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</si>
  <si>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</si>
  <si>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</si>
  <si>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</si>
  <si>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</si>
  <si>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</si>
  <si>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</si>
  <si>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</si>
  <si>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</si>
  <si>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</si>
  <si>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</si>
  <si>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 1</t>
  </si>
  <si>
    <t>job2</t>
  </si>
  <si>
    <t>job3</t>
  </si>
  <si>
    <t>Created by Adharsh R on 03-10-2026
Modified by Adharsh R on 03-10-2026</t>
  </si>
  <si>
    <t>Report Created: 03-Oct-26 12:41:47 AM</t>
  </si>
  <si>
    <t>Solution Time: 0.079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</si>
  <si>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</si>
  <si>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</si>
  <si>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</si>
  <si>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</si>
  <si>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</si>
  <si>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</si>
  <si>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</si>
  <si>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03-Oct-26 12:50:57 AM</t>
  </si>
  <si>
    <t>Solution Time: 0.032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</si>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</sst>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68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7" fontId="0" fillId="0" borderId="27" xfId="0" applyNumberForma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1" defaultTableStyle="TableStyleMedium2" defaultPivotStyle="PivotStyleLight16">
    <tableStyle name="Invisible" pivot="0" table="0" count="0" xr9:uid="{14D4CF64-B210-41D4-8C2F-7CA16CF83E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FORECAST_RESULTS!$B$1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FORECAST_RESULTS!$B$2:$B$458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7-41B7-9EE4-2626DFB2A590}"/>
            </c:ext>
          </c:extLst>
        </c:ser>
        <c:ser>
          <c:idx val="1"/>
          <c:order val="1"/>
          <c:tx>
            <c:strRef>
              <c:f>FORECAST_RESULTS!$C$1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FORECAST_RESULTS!$A$2:$A$458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FORECAST_RESULTS!$C$2:$C$458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7-41B7-9EE4-2626DFB2A590}"/>
            </c:ext>
          </c:extLst>
        </c:ser>
        <c:ser>
          <c:idx val="2"/>
          <c:order val="2"/>
          <c:tx>
            <c:strRef>
              <c:f>FORECAST_RESULTS!$D$1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FORECAST_RESULTS!$A$2:$A$458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FORECAST_RESULTS!$D$2:$D$458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7-41B7-9EE4-2626DFB2A590}"/>
            </c:ext>
          </c:extLst>
        </c:ser>
        <c:ser>
          <c:idx val="3"/>
          <c:order val="3"/>
          <c:tx>
            <c:strRef>
              <c:f>FORECAST_RESULTS!$E$1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FORECAST_RESULTS!$A$2:$A$458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FORECAST_RESULTS!$E$2:$E$458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47-41B7-9EE4-2626DFB2A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802479"/>
        <c:axId val="1270541935"/>
      </c:lineChart>
      <c:catAx>
        <c:axId val="12718024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41935"/>
        <c:crosses val="autoZero"/>
        <c:auto val="1"/>
        <c:lblAlgn val="ctr"/>
        <c:lblOffset val="100"/>
        <c:noMultiLvlLbl val="0"/>
      </c:catAx>
      <c:valAx>
        <c:axId val="127054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80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2</xdr:row>
      <xdr:rowOff>110490</xdr:rowOff>
    </xdr:from>
    <xdr:to>
      <xdr:col>17</xdr:col>
      <xdr:colOff>443865</xdr:colOff>
      <xdr:row>22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13FE1-98C9-F9C1-BA11-64D898C57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A883E-4AA1-482E-A994-A729FE2444FB}" name="Table2" displayName="Table2" ref="A1:E458" totalsRowShown="0">
  <autoFilter ref="A1:E458" xr:uid="{DEDA883E-4AA1-482E-A994-A729FE2444FB}"/>
  <tableColumns count="5">
    <tableColumn id="1" xr3:uid="{DE9F3857-EAD2-464C-BB7F-4C164B006AF6}" name="Date" dataDxfId="5"/>
    <tableColumn id="2" xr3:uid="{0AE1738D-B15E-4663-9C09-7B950BEFD9C8}" name="Job Count"/>
    <tableColumn id="3" xr3:uid="{39548AC8-B9A4-45AA-9FBB-7DC34136AF1C}" name="Forecast(Job Count)">
      <calculatedColumnFormula>_xlfn.FORECAST.ETS(A2,$B$2:$B$366,$A$2:$A$366,1,1)</calculatedColumnFormula>
    </tableColumn>
    <tableColumn id="4" xr3:uid="{EBC121B1-7D48-43E6-A2A9-F24628E57B76}" name="Lower Confidence Bound(Job Count)" dataDxfId="4">
      <calculatedColumnFormula>C2-_xlfn.FORECAST.ETS.CONFINT(A2,$B$2:$B$366,$A$2:$A$366,0.95,1,1)</calculatedColumnFormula>
    </tableColumn>
    <tableColumn id="5" xr3:uid="{3B050A9E-9CFC-44BF-94C2-4B4AF7BF1E8F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68BB-1444-4EC9-B3C4-A21501B6904A}">
  <dimension ref="A1:E458"/>
  <sheetViews>
    <sheetView topLeftCell="F1" workbookViewId="0">
      <selection activeCell="E16" sqref="E16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62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B21" sqref="B21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H29" sqref="H29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B834-38D5-4D3A-8E2C-073529F12097}">
  <sheetPr>
    <outlinePr summaryBelow="0"/>
  </sheetPr>
  <dimension ref="B1:G18"/>
  <sheetViews>
    <sheetView showGridLines="0" workbookViewId="0">
      <selection activeCell="D6" sqref="D6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78</v>
      </c>
      <c r="F3" s="28" t="s">
        <v>79</v>
      </c>
      <c r="G3" s="28" t="s">
        <v>80</v>
      </c>
    </row>
    <row r="4" spans="2:7" ht="43.2" hidden="1" outlineLevel="1" x14ac:dyDescent="0.3">
      <c r="B4" s="24"/>
      <c r="C4" s="24"/>
      <c r="E4" s="32" t="s">
        <v>81</v>
      </c>
      <c r="F4" s="32" t="s">
        <v>81</v>
      </c>
      <c r="G4" s="32" t="s">
        <v>81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120000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0.05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8.0000000000000002E-3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126000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127008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128024.064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129048.25651200001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130080.64256409599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640160.96307609603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9A53-5CA2-47E0-A2D8-681C2EA5C991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82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83</v>
      </c>
    </row>
    <row r="8" spans="1:5" hidden="1" outlineLevel="1" x14ac:dyDescent="0.3">
      <c r="A8" s="7"/>
      <c r="B8" t="s">
        <v>84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566749.36179999996</v>
      </c>
      <c r="E16" s="51">
        <v>639999.95109999995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0.1</v>
      </c>
      <c r="E21" s="52">
        <v>0.226693026881682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1.4999999999999999E-2</v>
      </c>
      <c r="E22" s="53">
        <v>2.1270607913771021E-2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ht="15" thickBot="1" x14ac:dyDescent="0.35">
      <c r="B27" s="48" t="s">
        <v>29</v>
      </c>
      <c r="C27" s="48" t="s">
        <v>35</v>
      </c>
      <c r="D27" s="51">
        <v>639999.94999999995</v>
      </c>
      <c r="E27" s="48" t="s">
        <v>63</v>
      </c>
      <c r="F27" s="48" t="s">
        <v>64</v>
      </c>
      <c r="G27" s="4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0214-2B35-48B1-89E8-E41BD1AF3EA9}">
  <dimension ref="A1:E15"/>
  <sheetViews>
    <sheetView showGridLines="0" topLeftCell="A4" workbookViewId="0">
      <selection activeCell="K28" sqref="K28:L29"/>
    </sheetView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85</v>
      </c>
    </row>
    <row r="2" spans="1:5" x14ac:dyDescent="0.3">
      <c r="A2" s="7" t="s">
        <v>38</v>
      </c>
    </row>
    <row r="3" spans="1:5" x14ac:dyDescent="0.3">
      <c r="A3" s="7" t="s">
        <v>82</v>
      </c>
    </row>
    <row r="6" spans="1:5" ht="15" thickBot="1" x14ac:dyDescent="0.35">
      <c r="A6" t="s">
        <v>54</v>
      </c>
    </row>
    <row r="7" spans="1:5" x14ac:dyDescent="0.3">
      <c r="B7" s="55"/>
      <c r="C7" s="55"/>
      <c r="D7" s="55" t="s">
        <v>86</v>
      </c>
      <c r="E7" s="55" t="s">
        <v>87</v>
      </c>
    </row>
    <row r="8" spans="1:5" ht="15" thickBot="1" x14ac:dyDescent="0.35">
      <c r="B8" s="56" t="s">
        <v>50</v>
      </c>
      <c r="C8" s="56" t="s">
        <v>51</v>
      </c>
      <c r="D8" s="56" t="s">
        <v>69</v>
      </c>
      <c r="E8" s="56" t="s">
        <v>88</v>
      </c>
    </row>
    <row r="9" spans="1:5" x14ac:dyDescent="0.3">
      <c r="B9" s="50" t="s">
        <v>60</v>
      </c>
      <c r="C9" s="50" t="s">
        <v>15</v>
      </c>
      <c r="D9" s="50">
        <v>0.226693026881682</v>
      </c>
      <c r="E9" s="50">
        <v>0</v>
      </c>
    </row>
    <row r="10" spans="1:5" ht="15" thickBot="1" x14ac:dyDescent="0.35">
      <c r="B10" s="48" t="s">
        <v>62</v>
      </c>
      <c r="C10" s="48" t="s">
        <v>16</v>
      </c>
      <c r="D10" s="48">
        <v>2.1270607913771021E-2</v>
      </c>
      <c r="E10" s="48">
        <v>0</v>
      </c>
    </row>
    <row r="12" spans="1:5" ht="15" thickBot="1" x14ac:dyDescent="0.35">
      <c r="A12" t="s">
        <v>56</v>
      </c>
    </row>
    <row r="13" spans="1:5" x14ac:dyDescent="0.3">
      <c r="B13" s="55"/>
      <c r="C13" s="55"/>
      <c r="D13" s="55" t="s">
        <v>86</v>
      </c>
      <c r="E13" s="55" t="s">
        <v>89</v>
      </c>
    </row>
    <row r="14" spans="1:5" ht="15" thickBot="1" x14ac:dyDescent="0.35">
      <c r="B14" s="56" t="s">
        <v>50</v>
      </c>
      <c r="C14" s="56" t="s">
        <v>51</v>
      </c>
      <c r="D14" s="56" t="s">
        <v>69</v>
      </c>
      <c r="E14" s="56" t="s">
        <v>90</v>
      </c>
    </row>
    <row r="15" spans="1:5" ht="15" thickBot="1" x14ac:dyDescent="0.35">
      <c r="B15" s="48" t="s">
        <v>29</v>
      </c>
      <c r="C15" s="48" t="s">
        <v>35</v>
      </c>
      <c r="D15" s="65">
        <v>639999.94999999995</v>
      </c>
      <c r="E15" s="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2A02-E4CA-4744-86C1-20808C138125}">
  <dimension ref="A1:J14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4.33203125" bestFit="1" customWidth="1"/>
    <col min="3" max="3" width="8" bestFit="1" customWidth="1"/>
    <col min="4" max="4" width="9.664062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82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639999.95109999995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0.226693026881682</v>
      </c>
      <c r="F13" s="52">
        <v>0</v>
      </c>
      <c r="G13" s="52">
        <v>521727.88</v>
      </c>
      <c r="I13" s="50" t="e">
        <v>#N/A</v>
      </c>
      <c r="J13" s="50" t="e">
        <v>#N/A</v>
      </c>
    </row>
    <row r="14" spans="1:10" ht="15" thickBot="1" x14ac:dyDescent="0.35">
      <c r="B14" s="48" t="s">
        <v>62</v>
      </c>
      <c r="C14" s="48" t="s">
        <v>16</v>
      </c>
      <c r="D14" s="53">
        <v>2.1270607913771021E-2</v>
      </c>
      <c r="F14" s="53">
        <v>0</v>
      </c>
      <c r="G14" s="53">
        <v>613346.51</v>
      </c>
      <c r="I14" s="48"/>
      <c r="J14" s="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B72D-9440-43F6-8911-5715C273D325}">
  <dimension ref="A1:G29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91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92</v>
      </c>
    </row>
    <row r="8" spans="1:5" hidden="1" outlineLevel="1" x14ac:dyDescent="0.3">
      <c r="A8" s="7"/>
      <c r="B8" t="s">
        <v>84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622877.09439999994</v>
      </c>
      <c r="E16" s="51">
        <v>640000.14520000003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0.15</v>
      </c>
      <c r="E21" s="52">
        <v>0.17283479610661426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0.04</v>
      </c>
      <c r="E22" s="53">
        <v>4.3731865887940702E-2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640000.15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0.17283479610661426</v>
      </c>
      <c r="E28" s="50" t="s">
        <v>93</v>
      </c>
      <c r="F28" s="50" t="s">
        <v>66</v>
      </c>
      <c r="G28" s="50">
        <v>2.7165203893385753E-2</v>
      </c>
    </row>
    <row r="29" spans="1:7" ht="15" thickBot="1" x14ac:dyDescent="0.35">
      <c r="B29" s="48" t="s">
        <v>62</v>
      </c>
      <c r="C29" s="48" t="s">
        <v>16</v>
      </c>
      <c r="D29" s="53">
        <v>4.3731865887940702E-2</v>
      </c>
      <c r="E29" s="48" t="s">
        <v>94</v>
      </c>
      <c r="F29" s="48" t="s">
        <v>66</v>
      </c>
      <c r="G29" s="48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E11" sqref="E11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6" t="s">
        <v>4</v>
      </c>
      <c r="C2" s="67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200000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0.25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6" t="s">
        <v>5</v>
      </c>
      <c r="C7" s="67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220000.00000000003</v>
      </c>
    </row>
    <row r="10" spans="2:8" x14ac:dyDescent="0.3">
      <c r="B10" s="4">
        <v>1</v>
      </c>
      <c r="C10" s="2">
        <f>(base*(1+raise)^B10)*(1+bonus)</f>
        <v>275000</v>
      </c>
    </row>
    <row r="11" spans="2:8" x14ac:dyDescent="0.3">
      <c r="B11" s="4">
        <v>2</v>
      </c>
      <c r="C11" s="2">
        <f>(base*(1+raise)^B11)*(1+bonus)</f>
        <v>343750</v>
      </c>
    </row>
    <row r="12" spans="2:8" x14ac:dyDescent="0.3">
      <c r="B12" s="4">
        <v>3</v>
      </c>
      <c r="C12" s="2">
        <f>(base*(1+raise)^B12)*(1+bonus)</f>
        <v>429687.50000000006</v>
      </c>
    </row>
    <row r="13" spans="2:8" ht="15" thickBot="1" x14ac:dyDescent="0.35">
      <c r="B13" s="36">
        <v>4</v>
      </c>
      <c r="C13" s="37">
        <f>(base*(1+raise)^B13)*(1+bonus)</f>
        <v>537109.375</v>
      </c>
    </row>
    <row r="14" spans="2:8" ht="15.6" thickTop="1" thickBot="1" x14ac:dyDescent="0.35">
      <c r="B14" s="34" t="s">
        <v>3</v>
      </c>
      <c r="C14" s="35">
        <f>SUM(C9:C13)</f>
        <v>1805546.875</v>
      </c>
    </row>
  </sheetData>
  <scenarios current="2" show="2" sqref="C9:C14">
    <scenario name="job 1" locked="1" count="3" user="Adharsh R" comment="Created by Adharsh R on 03-10-2026_x000a_Modified by Adharsh R on 03-10-2026">
      <inputCells r="C3" val="100000" numFmtId="164"/>
      <inputCells r="C4" val="0.1" numFmtId="9"/>
      <inputCells r="C5" val="0.015" numFmtId="165"/>
    </scenario>
    <scenario name="job2" locked="1" count="3" user="Adharsh R" comment="Created by Adharsh R on 03-10-2026_x000a_Modified by Adharsh R on 03-10-2026">
      <inputCells r="C3" val="80000" numFmtId="164"/>
      <inputCells r="C4" val="0.15" numFmtId="9"/>
      <inputCells r="C5" val="0.012" numFmtId="165"/>
    </scenario>
    <scenario name="job3" locked="1" count="3" user="Adharsh R" comment="Created by Adharsh R on 03-10-2026_x000a_Modified by Adharsh R on 03-10-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H29" sqref="H29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H29" sqref="H29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H29" sqref="H29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FORECAST_RESULTS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Adharsh R</cp:lastModifiedBy>
  <dcterms:created xsi:type="dcterms:W3CDTF">2024-08-08T18:34:47Z</dcterms:created>
  <dcterms:modified xsi:type="dcterms:W3CDTF">2026-10-03T05:20:57Z</dcterms:modified>
</cp:coreProperties>
</file>